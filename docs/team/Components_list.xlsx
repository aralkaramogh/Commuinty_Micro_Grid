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gh\MATLAB_Projects\Commuinty_Micro_Grid\"/>
    </mc:Choice>
  </mc:AlternateContent>
  <xr:revisionPtr revIDLastSave="0" documentId="13_ncr:1_{0B9051E6-1CC4-43E2-9E2A-66BB247C3D42}" xr6:coauthVersionLast="47" xr6:coauthVersionMax="47" xr10:uidLastSave="{00000000-0000-0000-0000-000000000000}"/>
  <bookViews>
    <workbookView xWindow="-120" yWindow="-120" windowWidth="29040" windowHeight="15840" xr2:uid="{90347CCB-17D9-4232-A132-A97145AF0FA4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1" l="1"/>
  <c r="E38" i="1"/>
  <c r="F38" i="1"/>
  <c r="E37" i="1"/>
  <c r="E36" i="1"/>
  <c r="F3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<sst xmlns="http://schemas.openxmlformats.org/spreadsheetml/2006/main" count="81" uniqueCount="51">
  <si>
    <t>Component Availability</t>
  </si>
  <si>
    <t>S.No</t>
  </si>
  <si>
    <t>Component Name</t>
  </si>
  <si>
    <t>Surety</t>
  </si>
  <si>
    <t>yes</t>
  </si>
  <si>
    <t>5v relay module</t>
  </si>
  <si>
    <t>pc817 optocoupler</t>
  </si>
  <si>
    <t>1602 lcd</t>
  </si>
  <si>
    <t>12v/5a metal smps</t>
  </si>
  <si>
    <t>lm2596 3a dc-dc buck</t>
  </si>
  <si>
    <t>breadboard</t>
  </si>
  <si>
    <t>zero pcb</t>
  </si>
  <si>
    <t>jumper wires</t>
  </si>
  <si>
    <t>Passive components (Resistors, LEDs, etc)</t>
  </si>
  <si>
    <t>Organizer Qty</t>
  </si>
  <si>
    <t>My Qty</t>
  </si>
  <si>
    <t>Total Qty</t>
  </si>
  <si>
    <t>Source</t>
  </si>
  <si>
    <t>esp32</t>
  </si>
  <si>
    <t>nodeMCU</t>
  </si>
  <si>
    <t>stm32 blue pill</t>
  </si>
  <si>
    <t>Arduino nano</t>
  </si>
  <si>
    <t>Arduino UNO</t>
  </si>
  <si>
    <t>Raspi 3b 1gb ram</t>
  </si>
  <si>
    <t>Raspi 4b 4gb ram</t>
  </si>
  <si>
    <t>PZEM V3 AC</t>
  </si>
  <si>
    <t>rtc rime module</t>
  </si>
  <si>
    <t>MCB 20A AC</t>
  </si>
  <si>
    <t>0-5-12 DCV Unregulated Power Supply</t>
  </si>
  <si>
    <t>Colour Sensor</t>
  </si>
  <si>
    <t>L298N motor driver</t>
  </si>
  <si>
    <t>AC Vltg Sensor ZMPT101</t>
  </si>
  <si>
    <t>AC Current Sensor ZMCT1030</t>
  </si>
  <si>
    <t>AC Current Sensor ACS712</t>
  </si>
  <si>
    <t>TTL to R485 converter</t>
  </si>
  <si>
    <t>USB to RS485 converter</t>
  </si>
  <si>
    <t>USB to TTL converter</t>
  </si>
  <si>
    <t>Solar Panel 20Wp, 22.5 VOC</t>
  </si>
  <si>
    <t>Loom Solar Fusion 1012</t>
  </si>
  <si>
    <t>Don’t know if it works</t>
  </si>
  <si>
    <t>SLA 12V 7AH battery</t>
  </si>
  <si>
    <t>Inverter (Home type)</t>
  </si>
  <si>
    <t>no</t>
  </si>
  <si>
    <t>AC Dimmer Module</t>
  </si>
  <si>
    <t>Soldering Station</t>
  </si>
  <si>
    <t xml:space="preserve">Li-ion Battery </t>
  </si>
  <si>
    <t>Column1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</si>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</sst>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9">
    <dxf>
      <alignment horizontal="left"/>
    </dxf>
    <dxf>
      <numFmt numFmtId="3" formatCode="#,##0"/>
      <alignment horizontal="left" vertical="bottom" textRotation="0" wrapText="0" indent="0" justifyLastLine="0" shrinkToFit="0" readingOrder="0"/>
    </dxf>
    <dxf>
      <font>
        <b/>
      </font>
      <numFmt numFmtId="3" formatCode="#,##0"/>
      <alignment horizontal="left" vertical="bottom" textRotation="0" wrapText="0" indent="0" justifyLastLine="0" shrinkToFit="0" readingOrder="0"/>
    </dxf>
    <dxf>
      <font>
        <color rgb="FF0000FF"/>
      </font>
      <numFmt numFmtId="3" formatCode="#,##0"/>
      <alignment horizontal="left" vertical="bottom" textRotation="0" wrapText="0" indent="0" justifyLastLine="0" shrinkToFit="0" readingOrder="0"/>
    </dxf>
    <dxf>
      <font>
        <color rgb="FF0000FF"/>
      </font>
      <numFmt numFmtId="3" formatCode="#,##0"/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99F3E-89CE-4BB9-8160-3DE7156E2760}" name="ComponentList" displayName="ComponentList" ref="A3:G38" totalsRowShown="0" headerRowDxfId="8" dataDxfId="7">
  <autoFilter ref="A3:G38" xr:uid="{77E99F3E-89CE-4BB9-8160-3DE7156E2760}"/>
  <tableColumns count="7">
    <tableColumn id="1" xr3:uid="{3FA4A9A1-44B5-474D-B288-EDBBA8DDC1DC}" name="S.No" dataDxfId="6">
      <calculatedColumnFormula array="1">IF(ComponentList[[#This Row],[Component Name]]="","",ROW()-ROW(ComponentList[#Headers]))</calculatedColumnFormula>
    </tableColumn>
    <tableColumn id="2" xr3:uid="{8C83A966-781B-4066-8426-94F3785FC80D}" name="Component Name" dataDxfId="5"/>
    <tableColumn id="3" xr3:uid="{A1DEC1A8-6BF2-4925-AED5-5DD171CF69A3}" name="Organizer Qty" dataDxfId="4"/>
    <tableColumn id="5" xr3:uid="{CB562F3C-7A9E-4AA0-ADB8-B90FBDD81797}" name="My Qty" dataDxfId="3"/>
    <tableColumn id="6" xr3:uid="{2BC4C9B8-F6F8-495E-B21F-6A3F3AB1FABA}" name="Total Qty" dataDxfId="2">
      <calculatedColumnFormula>IF(ComponentList[[#This Row],[Component Name]]="","",N(ComponentList[[#This Row],[Organizer Qty]])+N(ComponentList[[#This Row],[My Qty]]))</calculatedColumnFormula>
    </tableColumn>
    <tableColumn id="7" xr3:uid="{06D1A816-2472-4CDF-9942-87DF05C4E8BB}" name="Source" dataDxfId="1">
      <calculatedColumnFormula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calculatedColumnFormula>
    </tableColumn>
    <tableColumn id="4" xr3:uid="{B5147D0F-2544-4D8B-8529-585B9ED8D5E1}" name="Sure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D50F38-0B46-4237-AD8F-FFFDDEC2710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843ffa8-a666-4d3f-9c9a-5af4a26c90e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400E-6020-4C7C-B882-CA69DBDA7038}">
  <dimension ref="A1:G38"/>
  <sheetViews>
    <sheetView tabSelected="1" zoomScale="115" zoomScaleNormal="115" workbookViewId="0">
      <pane ySplit="3" topLeftCell="A4" activePane="bottomLeft" state="frozen"/>
      <selection pane="bottomLeft" activeCell="J9" sqref="J9"/>
    </sheetView>
  </sheetViews>
  <sheetFormatPr defaultRowHeight="14.5" x14ac:dyDescent="0.35"/>
  <cols>
    <col min="1" max="1" width="9.54296875" customWidth="1"/>
    <col min="2" max="2" width="38.1796875" customWidth="1"/>
    <col min="3" max="6" width="17.1796875" customWidth="1"/>
    <col min="7" max="7" width="28.54296875" customWidth="1"/>
  </cols>
  <sheetData>
    <row r="1" spans="1:7" ht="18.5" x14ac:dyDescent="0.45">
      <c r="A1" s="1" t="s">
        <v>0</v>
      </c>
    </row>
    <row r="3" spans="1:7" x14ac:dyDescent="0.35">
      <c r="A3" s="2" t="s">
        <v>1</v>
      </c>
      <c r="B3" s="2" t="s">
        <v>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3</v>
      </c>
    </row>
    <row r="4" spans="1:7" x14ac:dyDescent="0.35">
      <c r="A4" s="2" cm="1">
        <f t="array" ref="A4">IF(ComponentList[[#This Row],[Component Name]]="","",ROW()-ROW(ComponentList[#Headers]))</f>
        <v>1</v>
      </c>
      <c r="B4" s="2" t="s">
        <v>18</v>
      </c>
      <c r="C4" s="4">
        <v>1</v>
      </c>
      <c r="D4" s="4">
        <v>2</v>
      </c>
      <c r="E4" s="5">
        <f>IF(ComponentList[[#This Row],[Component Name]]="","",N(ComponentList[[#This Row],[Organizer Qty]])+N(ComponentList[[#This Row],[My Qty]]))</f>
        <v>3</v>
      </c>
      <c r="F4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Both</v>
      </c>
      <c r="G4" s="2" t="s">
        <v>4</v>
      </c>
    </row>
    <row r="5" spans="1:7" x14ac:dyDescent="0.35">
      <c r="A5" s="2" cm="1">
        <f t="array" ref="A5">IF(ComponentList[[#This Row],[Component Name]]="","",ROW()-ROW(ComponentList[#Headers]))</f>
        <v>2</v>
      </c>
      <c r="B5" s="2" t="s">
        <v>5</v>
      </c>
      <c r="C5" s="4">
        <v>1</v>
      </c>
      <c r="D5" s="4">
        <v>3</v>
      </c>
      <c r="E5" s="5">
        <f>IF(ComponentList[[#This Row],[Component Name]]="","",N(ComponentList[[#This Row],[Organizer Qty]])+N(ComponentList[[#This Row],[My Qty]]))</f>
        <v>4</v>
      </c>
      <c r="F5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Both</v>
      </c>
      <c r="G5" s="2" t="s">
        <v>4</v>
      </c>
    </row>
    <row r="6" spans="1:7" x14ac:dyDescent="0.35">
      <c r="A6" s="2" cm="1">
        <f t="array" ref="A6">IF(ComponentList[[#This Row],[Component Name]]="","",ROW()-ROW(ComponentList[#Headers]))</f>
        <v>3</v>
      </c>
      <c r="B6" s="2" t="s">
        <v>6</v>
      </c>
      <c r="C6" s="4">
        <v>1</v>
      </c>
      <c r="D6" s="4"/>
      <c r="E6" s="5">
        <f>IF(ComponentList[[#This Row],[Component Name]]="","",N(ComponentList[[#This Row],[Organizer Qty]])+N(ComponentList[[#This Row],[My Qty]]))</f>
        <v>1</v>
      </c>
      <c r="F6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Organizer</v>
      </c>
      <c r="G6" s="2" t="s">
        <v>4</v>
      </c>
    </row>
    <row r="7" spans="1:7" x14ac:dyDescent="0.35">
      <c r="A7" s="2" cm="1">
        <f t="array" ref="A7">IF(ComponentList[[#This Row],[Component Name]]="","",ROW()-ROW(ComponentList[#Headers]))</f>
        <v>4</v>
      </c>
      <c r="B7" s="2" t="s">
        <v>7</v>
      </c>
      <c r="C7" s="4">
        <v>1</v>
      </c>
      <c r="D7" s="4"/>
      <c r="E7" s="5">
        <f>IF(ComponentList[[#This Row],[Component Name]]="","",N(ComponentList[[#This Row],[Organizer Qty]])+N(ComponentList[[#This Row],[My Qty]]))</f>
        <v>1</v>
      </c>
      <c r="F7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Organizer</v>
      </c>
      <c r="G7" s="2" t="s">
        <v>4</v>
      </c>
    </row>
    <row r="8" spans="1:7" x14ac:dyDescent="0.35">
      <c r="A8" s="2" cm="1">
        <f t="array" ref="A8">IF(ComponentList[[#This Row],[Component Name]]="","",ROW()-ROW(ComponentList[#Headers]))</f>
        <v>5</v>
      </c>
      <c r="B8" s="2" t="s">
        <v>8</v>
      </c>
      <c r="C8" s="4">
        <v>1</v>
      </c>
      <c r="D8" s="4"/>
      <c r="E8" s="5">
        <f>IF(ComponentList[[#This Row],[Component Name]]="","",N(ComponentList[[#This Row],[Organizer Qty]])+N(ComponentList[[#This Row],[My Qty]]))</f>
        <v>1</v>
      </c>
      <c r="F8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Organizer</v>
      </c>
      <c r="G8" s="2" t="s">
        <v>4</v>
      </c>
    </row>
    <row r="9" spans="1:7" x14ac:dyDescent="0.35">
      <c r="A9" s="2" cm="1">
        <f t="array" ref="A9">IF(ComponentList[[#This Row],[Component Name]]="","",ROW()-ROW(ComponentList[#Headers]))</f>
        <v>6</v>
      </c>
      <c r="B9" s="2" t="s">
        <v>9</v>
      </c>
      <c r="C9" s="4">
        <v>1</v>
      </c>
      <c r="D9" s="4"/>
      <c r="E9" s="5">
        <f>IF(ComponentList[[#This Row],[Component Name]]="","",N(ComponentList[[#This Row],[Organizer Qty]])+N(ComponentList[[#This Row],[My Qty]]))</f>
        <v>1</v>
      </c>
      <c r="F9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Organizer</v>
      </c>
      <c r="G9" s="2" t="s">
        <v>4</v>
      </c>
    </row>
    <row r="10" spans="1:7" x14ac:dyDescent="0.35">
      <c r="A10" s="2" cm="1">
        <f t="array" ref="A10">IF(ComponentList[[#This Row],[Component Name]]="","",ROW()-ROW(ComponentList[#Headers]))</f>
        <v>7</v>
      </c>
      <c r="B10" s="2" t="s">
        <v>10</v>
      </c>
      <c r="C10" s="4">
        <v>1</v>
      </c>
      <c r="D10" s="4">
        <v>2</v>
      </c>
      <c r="E10" s="5">
        <f>IF(ComponentList[[#This Row],[Component Name]]="","",N(ComponentList[[#This Row],[Organizer Qty]])+N(ComponentList[[#This Row],[My Qty]]))</f>
        <v>3</v>
      </c>
      <c r="F10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Both</v>
      </c>
      <c r="G10" s="2" t="s">
        <v>4</v>
      </c>
    </row>
    <row r="11" spans="1:7" x14ac:dyDescent="0.35">
      <c r="A11" s="2" cm="1">
        <f t="array" ref="A11">IF(ComponentList[[#This Row],[Component Name]]="","",ROW()-ROW(ComponentList[#Headers]))</f>
        <v>8</v>
      </c>
      <c r="B11" s="2" t="s">
        <v>11</v>
      </c>
      <c r="C11" s="4">
        <v>1</v>
      </c>
      <c r="D11" s="4">
        <v>1</v>
      </c>
      <c r="E11" s="5">
        <f>IF(ComponentList[[#This Row],[Component Name]]="","",N(ComponentList[[#This Row],[Organizer Qty]])+N(ComponentList[[#This Row],[My Qty]]))</f>
        <v>2</v>
      </c>
      <c r="F11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Both</v>
      </c>
      <c r="G11" s="2" t="s">
        <v>4</v>
      </c>
    </row>
    <row r="12" spans="1:7" x14ac:dyDescent="0.35">
      <c r="A12" s="2" cm="1">
        <f t="array" ref="A12">IF(ComponentList[[#This Row],[Component Name]]="","",ROW()-ROW(ComponentList[#Headers]))</f>
        <v>9</v>
      </c>
      <c r="B12" s="2" t="s">
        <v>12</v>
      </c>
      <c r="C12" s="4">
        <v>0</v>
      </c>
      <c r="D12" s="4">
        <v>0</v>
      </c>
      <c r="E12" s="5">
        <f>IF(ComponentList[[#This Row],[Component Name]]="","",N(ComponentList[[#This Row],[Organizer Qty]])+N(ComponentList[[#This Row],[My Qty]]))</f>
        <v>0</v>
      </c>
      <c r="F12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-</v>
      </c>
      <c r="G12" s="2" t="s">
        <v>4</v>
      </c>
    </row>
    <row r="13" spans="1:7" x14ac:dyDescent="0.35">
      <c r="A13" s="2" cm="1">
        <f t="array" ref="A13">IF(ComponentList[[#This Row],[Component Name]]="","",ROW()-ROW(ComponentList[#Headers]))</f>
        <v>10</v>
      </c>
      <c r="B13" s="2" t="s">
        <v>13</v>
      </c>
      <c r="C13" s="4"/>
      <c r="D13" s="4"/>
      <c r="E13" s="5">
        <f>IF(ComponentList[[#This Row],[Component Name]]="","",N(ComponentList[[#This Row],[Organizer Qty]])+N(ComponentList[[#This Row],[My Qty]]))</f>
        <v>0</v>
      </c>
      <c r="F13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-</v>
      </c>
      <c r="G13" s="2" t="s">
        <v>4</v>
      </c>
    </row>
    <row r="14" spans="1:7" x14ac:dyDescent="0.35">
      <c r="A14" s="2">
        <v>11</v>
      </c>
      <c r="B14" s="2" t="s">
        <v>19</v>
      </c>
      <c r="C14" s="4"/>
      <c r="D14" s="4">
        <v>1</v>
      </c>
      <c r="E14" s="5">
        <f>IF(ComponentList[[#This Row],[Component Name]]="","",N(ComponentList[[#This Row],[Organizer Qty]])+N(ComponentList[[#This Row],[My Qty]]))</f>
        <v>1</v>
      </c>
      <c r="F14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4" s="2" t="s">
        <v>4</v>
      </c>
    </row>
    <row r="15" spans="1:7" x14ac:dyDescent="0.35">
      <c r="A15" s="2">
        <v>12</v>
      </c>
      <c r="B15" s="2" t="s">
        <v>20</v>
      </c>
      <c r="C15" s="4"/>
      <c r="D15" s="4">
        <v>1</v>
      </c>
      <c r="E15" s="5">
        <f>IF(ComponentList[[#This Row],[Component Name]]="","",N(ComponentList[[#This Row],[Organizer Qty]])+N(ComponentList[[#This Row],[My Qty]]))</f>
        <v>1</v>
      </c>
      <c r="F15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5" s="2" t="s">
        <v>4</v>
      </c>
    </row>
    <row r="16" spans="1:7" x14ac:dyDescent="0.35">
      <c r="A16" s="2">
        <v>13</v>
      </c>
      <c r="B16" s="2" t="s">
        <v>21</v>
      </c>
      <c r="C16" s="4"/>
      <c r="D16" s="4">
        <v>1</v>
      </c>
      <c r="E16" s="5">
        <f>IF(ComponentList[[#This Row],[Component Name]]="","",N(ComponentList[[#This Row],[Organizer Qty]])+N(ComponentList[[#This Row],[My Qty]]))</f>
        <v>1</v>
      </c>
      <c r="F16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6" s="2" t="s">
        <v>4</v>
      </c>
    </row>
    <row r="17" spans="1:7" x14ac:dyDescent="0.35">
      <c r="A17" s="2">
        <v>14</v>
      </c>
      <c r="B17" s="2" t="s">
        <v>22</v>
      </c>
      <c r="C17" s="4"/>
      <c r="D17" s="4">
        <v>1</v>
      </c>
      <c r="E17" s="5">
        <f>IF(ComponentList[[#This Row],[Component Name]]="","",N(ComponentList[[#This Row],[Organizer Qty]])+N(ComponentList[[#This Row],[My Qty]]))</f>
        <v>1</v>
      </c>
      <c r="F17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7" s="2" t="s">
        <v>4</v>
      </c>
    </row>
    <row r="18" spans="1:7" x14ac:dyDescent="0.35">
      <c r="A18" s="2">
        <v>15</v>
      </c>
      <c r="B18" s="2" t="s">
        <v>23</v>
      </c>
      <c r="C18" s="4"/>
      <c r="D18" s="4">
        <v>1</v>
      </c>
      <c r="E18" s="5">
        <f>IF(ComponentList[[#This Row],[Component Name]]="","",N(ComponentList[[#This Row],[Organizer Qty]])+N(ComponentList[[#This Row],[My Qty]]))</f>
        <v>1</v>
      </c>
      <c r="F18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8" s="2" t="s">
        <v>4</v>
      </c>
    </row>
    <row r="19" spans="1:7" x14ac:dyDescent="0.35">
      <c r="A19" s="2">
        <v>16</v>
      </c>
      <c r="B19" s="2" t="s">
        <v>24</v>
      </c>
      <c r="C19" s="4"/>
      <c r="D19" s="4">
        <v>1</v>
      </c>
      <c r="E19" s="5">
        <f>IF(ComponentList[[#This Row],[Component Name]]="","",N(ComponentList[[#This Row],[Organizer Qty]])+N(ComponentList[[#This Row],[My Qty]]))</f>
        <v>1</v>
      </c>
      <c r="F19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19" s="2" t="s">
        <v>4</v>
      </c>
    </row>
    <row r="20" spans="1:7" x14ac:dyDescent="0.35">
      <c r="A20" s="2">
        <v>17</v>
      </c>
      <c r="B20" s="2" t="s">
        <v>25</v>
      </c>
      <c r="C20" s="4"/>
      <c r="D20" s="4">
        <v>2</v>
      </c>
      <c r="E20" s="5">
        <f>IF(ComponentList[[#This Row],[Component Name]]="","",N(ComponentList[[#This Row],[Organizer Qty]])+N(ComponentList[[#This Row],[My Qty]]))</f>
        <v>2</v>
      </c>
      <c r="F20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0" s="2" t="s">
        <v>4</v>
      </c>
    </row>
    <row r="21" spans="1:7" x14ac:dyDescent="0.35">
      <c r="A21" s="2">
        <v>18</v>
      </c>
      <c r="B21" s="2" t="s">
        <v>26</v>
      </c>
      <c r="C21" s="4"/>
      <c r="D21" s="4">
        <v>1</v>
      </c>
      <c r="E21" s="5">
        <f>IF(ComponentList[[#This Row],[Component Name]]="","",N(ComponentList[[#This Row],[Organizer Qty]])+N(ComponentList[[#This Row],[My Qty]]))</f>
        <v>1</v>
      </c>
      <c r="F21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1" s="2" t="s">
        <v>4</v>
      </c>
    </row>
    <row r="22" spans="1:7" x14ac:dyDescent="0.35">
      <c r="A22" s="2">
        <v>19</v>
      </c>
      <c r="B22" s="2" t="s">
        <v>27</v>
      </c>
      <c r="C22" s="4"/>
      <c r="D22" s="4">
        <v>1</v>
      </c>
      <c r="E22" s="5">
        <f>IF(ComponentList[[#This Row],[Component Name]]="","",N(ComponentList[[#This Row],[Organizer Qty]])+N(ComponentList[[#This Row],[My Qty]]))</f>
        <v>1</v>
      </c>
      <c r="F22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2" s="2" t="s">
        <v>4</v>
      </c>
    </row>
    <row r="23" spans="1:7" x14ac:dyDescent="0.35">
      <c r="A23" s="2">
        <v>20</v>
      </c>
      <c r="B23" s="2" t="s">
        <v>28</v>
      </c>
      <c r="C23" s="4"/>
      <c r="D23" s="4">
        <v>1</v>
      </c>
      <c r="E23" s="5">
        <f>IF(ComponentList[[#This Row],[Component Name]]="","",N(ComponentList[[#This Row],[Organizer Qty]])+N(ComponentList[[#This Row],[My Qty]]))</f>
        <v>1</v>
      </c>
      <c r="F23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3" s="2" t="s">
        <v>4</v>
      </c>
    </row>
    <row r="24" spans="1:7" x14ac:dyDescent="0.35">
      <c r="A24" s="2">
        <v>21</v>
      </c>
      <c r="B24" s="2" t="s">
        <v>29</v>
      </c>
      <c r="C24" s="4"/>
      <c r="D24" s="4">
        <v>1</v>
      </c>
      <c r="E24" s="5">
        <f>IF(ComponentList[[#This Row],[Component Name]]="","",N(ComponentList[[#This Row],[Organizer Qty]])+N(ComponentList[[#This Row],[My Qty]]))</f>
        <v>1</v>
      </c>
      <c r="F24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4" s="2" t="s">
        <v>4</v>
      </c>
    </row>
    <row r="25" spans="1:7" x14ac:dyDescent="0.35">
      <c r="A25" s="2">
        <v>22</v>
      </c>
      <c r="B25" s="2" t="s">
        <v>30</v>
      </c>
      <c r="C25" s="4"/>
      <c r="D25" s="4">
        <v>1</v>
      </c>
      <c r="E25" s="5">
        <f>IF(ComponentList[[#This Row],[Component Name]]="","",N(ComponentList[[#This Row],[Organizer Qty]])+N(ComponentList[[#This Row],[My Qty]]))</f>
        <v>1</v>
      </c>
      <c r="F25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5" s="2" t="s">
        <v>4</v>
      </c>
    </row>
    <row r="26" spans="1:7" x14ac:dyDescent="0.35">
      <c r="A26" s="2">
        <v>23</v>
      </c>
      <c r="B26" s="2" t="s">
        <v>31</v>
      </c>
      <c r="C26" s="4"/>
      <c r="D26" s="4">
        <v>4</v>
      </c>
      <c r="E26" s="5">
        <f>IF(ComponentList[[#This Row],[Component Name]]="","",N(ComponentList[[#This Row],[Organizer Qty]])+N(ComponentList[[#This Row],[My Qty]]))</f>
        <v>4</v>
      </c>
      <c r="F26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6" s="2" t="s">
        <v>4</v>
      </c>
    </row>
    <row r="27" spans="1:7" x14ac:dyDescent="0.35">
      <c r="A27" s="2">
        <v>24</v>
      </c>
      <c r="B27" s="2" t="s">
        <v>32</v>
      </c>
      <c r="C27" s="4"/>
      <c r="D27" s="4">
        <v>1</v>
      </c>
      <c r="E27" s="5">
        <f>IF(ComponentList[[#This Row],[Component Name]]="","",N(ComponentList[[#This Row],[Organizer Qty]])+N(ComponentList[[#This Row],[My Qty]]))</f>
        <v>1</v>
      </c>
      <c r="F27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7" s="2" t="s">
        <v>4</v>
      </c>
    </row>
    <row r="28" spans="1:7" x14ac:dyDescent="0.35">
      <c r="A28" s="2">
        <v>25</v>
      </c>
      <c r="B28" s="2" t="s">
        <v>33</v>
      </c>
      <c r="C28" s="4"/>
      <c r="D28" s="4">
        <v>1</v>
      </c>
      <c r="E28" s="5">
        <f>IF(ComponentList[[#This Row],[Component Name]]="","",N(ComponentList[[#This Row],[Organizer Qty]])+N(ComponentList[[#This Row],[My Qty]]))</f>
        <v>1</v>
      </c>
      <c r="F28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8" s="2" t="s">
        <v>4</v>
      </c>
    </row>
    <row r="29" spans="1:7" x14ac:dyDescent="0.35">
      <c r="A29" s="2">
        <v>26</v>
      </c>
      <c r="B29" s="2" t="s">
        <v>34</v>
      </c>
      <c r="C29" s="4"/>
      <c r="D29" s="4">
        <v>1</v>
      </c>
      <c r="E29" s="5">
        <f>IF(ComponentList[[#This Row],[Component Name]]="","",N(ComponentList[[#This Row],[Organizer Qty]])+N(ComponentList[[#This Row],[My Qty]]))</f>
        <v>1</v>
      </c>
      <c r="F29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29" s="2" t="s">
        <v>4</v>
      </c>
    </row>
    <row r="30" spans="1:7" x14ac:dyDescent="0.35">
      <c r="A30" s="2">
        <v>27</v>
      </c>
      <c r="B30" s="2" t="s">
        <v>35</v>
      </c>
      <c r="C30" s="4"/>
      <c r="D30" s="4">
        <v>1</v>
      </c>
      <c r="E30" s="5">
        <f>IF(ComponentList[[#This Row],[Component Name]]="","",N(ComponentList[[#This Row],[Organizer Qty]])+N(ComponentList[[#This Row],[My Qty]]))</f>
        <v>1</v>
      </c>
      <c r="F30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0" s="2" t="s">
        <v>4</v>
      </c>
    </row>
    <row r="31" spans="1:7" x14ac:dyDescent="0.35">
      <c r="A31" s="2">
        <v>28</v>
      </c>
      <c r="B31" s="2" t="s">
        <v>36</v>
      </c>
      <c r="C31" s="4"/>
      <c r="D31" s="4">
        <v>1</v>
      </c>
      <c r="E31" s="5">
        <f>IF(ComponentList[[#This Row],[Component Name]]="","",N(ComponentList[[#This Row],[Organizer Qty]])+N(ComponentList[[#This Row],[My Qty]]))</f>
        <v>1</v>
      </c>
      <c r="F31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1" s="2" t="s">
        <v>4</v>
      </c>
    </row>
    <row r="32" spans="1:7" x14ac:dyDescent="0.35">
      <c r="A32" s="2">
        <v>29</v>
      </c>
      <c r="B32" s="2" t="s">
        <v>37</v>
      </c>
      <c r="C32" s="4"/>
      <c r="D32" s="4">
        <v>1</v>
      </c>
      <c r="E32" s="5">
        <f>IF(ComponentList[[#This Row],[Component Name]]="","",N(ComponentList[[#This Row],[Organizer Qty]])+N(ComponentList[[#This Row],[My Qty]]))</f>
        <v>1</v>
      </c>
      <c r="F32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2" s="2" t="s">
        <v>4</v>
      </c>
    </row>
    <row r="33" spans="1:7" x14ac:dyDescent="0.35">
      <c r="A33" s="2">
        <v>30</v>
      </c>
      <c r="B33" s="2" t="s">
        <v>38</v>
      </c>
      <c r="C33" s="4"/>
      <c r="D33" s="4">
        <v>1</v>
      </c>
      <c r="E33" s="5">
        <f>IF(ComponentList[[#This Row],[Component Name]]="","",N(ComponentList[[#This Row],[Organizer Qty]])+N(ComponentList[[#This Row],[My Qty]]))</f>
        <v>1</v>
      </c>
      <c r="F33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3" s="2" t="s">
        <v>39</v>
      </c>
    </row>
    <row r="34" spans="1:7" x14ac:dyDescent="0.35">
      <c r="A34" s="2">
        <v>31</v>
      </c>
      <c r="B34" s="2" t="s">
        <v>40</v>
      </c>
      <c r="C34" s="4"/>
      <c r="D34" s="4">
        <v>2</v>
      </c>
      <c r="E34" s="5">
        <f>IF(ComponentList[[#This Row],[Component Name]]="","",N(ComponentList[[#This Row],[Organizer Qty]])+N(ComponentList[[#This Row],[My Qty]]))</f>
        <v>2</v>
      </c>
      <c r="F34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4" s="2" t="s">
        <v>4</v>
      </c>
    </row>
    <row r="35" spans="1:7" x14ac:dyDescent="0.35">
      <c r="A35" s="2">
        <v>32</v>
      </c>
      <c r="B35" s="2" t="s">
        <v>41</v>
      </c>
      <c r="C35" s="4"/>
      <c r="D35" s="4">
        <v>1</v>
      </c>
      <c r="E35" s="5">
        <f>IF(ComponentList[[#This Row],[Component Name]]="","",N(ComponentList[[#This Row],[Organizer Qty]])+N(ComponentList[[#This Row],[My Qty]]))</f>
        <v>1</v>
      </c>
      <c r="F35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5" s="2" t="s">
        <v>42</v>
      </c>
    </row>
    <row r="36" spans="1:7" x14ac:dyDescent="0.35">
      <c r="A36" s="2">
        <v>33</v>
      </c>
      <c r="B36" s="2" t="s">
        <v>43</v>
      </c>
      <c r="C36" s="4"/>
      <c r="D36" s="4">
        <v>1</v>
      </c>
      <c r="E36" s="5">
        <f>IF(ComponentList[[#This Row],[Component Name]]="","",N(ComponentList[[#This Row],[Organizer Qty]])+N(ComponentList[[#This Row],[My Qty]]))</f>
        <v>1</v>
      </c>
      <c r="F36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6" s="2" t="s">
        <v>4</v>
      </c>
    </row>
    <row r="37" spans="1:7" x14ac:dyDescent="0.35">
      <c r="A37" s="2">
        <v>34</v>
      </c>
      <c r="B37" s="2" t="s">
        <v>44</v>
      </c>
      <c r="C37" s="4"/>
      <c r="D37" s="4">
        <v>1</v>
      </c>
      <c r="E37" s="5">
        <f>IF(ComponentList[[#This Row],[Component Name]]="","",N(ComponentList[[#This Row],[Organizer Qty]])+N(ComponentList[[#This Row],[My Qty]]))</f>
        <v>1</v>
      </c>
      <c r="F37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Mine</v>
      </c>
      <c r="G37" s="2"/>
    </row>
    <row r="38" spans="1:7" x14ac:dyDescent="0.35">
      <c r="A38" s="6">
        <v>35</v>
      </c>
      <c r="B38" s="2" t="s">
        <v>45</v>
      </c>
      <c r="C38" s="4"/>
      <c r="D38" s="4"/>
      <c r="E38" s="5">
        <f>IF(ComponentList[[#This Row],[Component Name]]="","",N(ComponentList[[#This Row],[Organizer Qty]])+N(ComponentList[[#This Row],[My Qty]]))</f>
        <v>0</v>
      </c>
      <c r="F38" s="3" t="str">
        <f>IF(ComponentList[[#This Row],[Component Name]]="","",IF(AND(N(ComponentList[[#This Row],[Organizer Qty]])&gt;0,N(ComponentList[[#This Row],[My Qty]])&gt;0),"Both",IF(N(ComponentList[[#This Row],[My Qty]])&gt;0,"Mine",IF(N(ComponentList[[#This Row],[Organizer Qty]])&gt;0,"Organizer","-"))))</f>
        <v>-</v>
      </c>
      <c r="G38" s="2"/>
    </row>
  </sheetData>
  <dataValidations count="1">
    <dataValidation type="whole" operator="greaterThanOrEqual" allowBlank="1" showInputMessage="1" showErrorMessage="1" sqref="C4:F38" xr:uid="{B88BB179-6E5B-4160-B9C2-B193D8AF6F7E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D8354-3337-416F-A560-A618B413F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Aralkar</dc:creator>
  <cp:lastModifiedBy>Amogh Aralkar</cp:lastModifiedBy>
  <dcterms:created xsi:type="dcterms:W3CDTF">2026-10-05T20:36:19Z</dcterms:created>
  <dcterms:modified xsi:type="dcterms:W3CDTF">2026-10-06T08:38:51Z</dcterms:modified>
</cp:coreProperties>
</file>