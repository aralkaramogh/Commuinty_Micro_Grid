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gh\MATLAB_Projects\Commuinty_Micro_Grid\docs\team\"/>
    </mc:Choice>
  </mc:AlternateContent>
  <xr:revisionPtr revIDLastSave="0" documentId="13_ncr:1_{9E321E6B-E608-4CC7-A736-8E4616A3C337}" xr6:coauthVersionLast="47" xr6:coauthVersionMax="47" xr10:uidLastSave="{00000000-0000-0000-0000-000000000000}"/>
  <bookViews>
    <workbookView xWindow="-110" yWindow="-110" windowWidth="19420" windowHeight="10420" xr2:uid="{B6157D25-0858-4339-B1F5-396C335E4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D26" i="1" s="1"/>
  <c r="B30" i="1"/>
  <c r="C29" i="1"/>
  <c r="D29" i="1" s="1"/>
  <c r="B29" i="1"/>
  <c r="C28" i="1"/>
  <c r="D28" i="1" s="1"/>
  <c r="B28" i="1"/>
  <c r="D27" i="1"/>
  <c r="E27" i="1" s="1"/>
  <c r="C27" i="1"/>
  <c r="B27" i="1"/>
  <c r="B26" i="1"/>
  <c r="C25" i="1"/>
  <c r="B25" i="1"/>
  <c r="B21" i="1"/>
  <c r="B19" i="1"/>
  <c r="B17" i="1"/>
  <c r="B16" i="1"/>
  <c r="D12" i="1"/>
  <c r="C30" i="1" l="1"/>
  <c r="F28" i="1"/>
  <c r="E28" i="1"/>
  <c r="E29" i="1"/>
  <c r="F29" i="1"/>
  <c r="E26" i="1"/>
  <c r="F26" i="1"/>
  <c r="F27" i="1"/>
  <c r="D25" i="1"/>
  <c r="D30" i="1" l="1"/>
  <c r="E25" i="1"/>
  <c r="F25" i="1"/>
  <c r="E30" i="1" l="1"/>
  <c r="F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Amogh Aralkar</author>
  </authors>
  <commentList>
    <comment ref="B18" authorId="0" shapeId="0" xr:uid="{71794BAA-7F79-4697-82C6-588D1D015B13}">
      <text>
        <r>
          <rPr>
            <b/>
            <sz val="9"/>
            <color indexed="81"/>
            <rFont val="Tahoma"/>
            <charset val="1"/>
          </rPr>
          <t>Amogh Aralkar:</t>
        </r>
        <r>
          <rPr>
            <sz val="9"/>
            <color indexed="81"/>
            <rFont val="Tahoma"/>
            <charset val="1"/>
          </rPr>
          <t xml:space="preserve">
Input: total registration fee due (only ₹210 of this collected so far via the ledger above).</t>
        </r>
      </text>
    </comment>
  </commentList>
</comments>
</file>

<file path=xl/sharedStrings.xml><?xml version="1.0" encoding="utf-8"?>
<sst xmlns="http://schemas.openxmlformats.org/spreadsheetml/2006/main" count="48" uniqueCount="33">
  <si>
    <t>Group Expense Settlement</t>
  </si>
  <si>
    <t>1. Payments Ledger (who paid what)</t>
  </si>
  <si>
    <t>Item</t>
  </si>
  <si>
    <t>Category</t>
  </si>
  <si>
    <t>Paid By</t>
  </si>
  <si>
    <t>Amount (₹)</t>
  </si>
  <si>
    <t>Components Batch 1</t>
  </si>
  <si>
    <t>Components</t>
  </si>
  <si>
    <t>Amogh</t>
  </si>
  <si>
    <t>Current Sensors x3</t>
  </si>
  <si>
    <t>Ganesh</t>
  </si>
  <si>
    <t>Data Cable (USB)</t>
  </si>
  <si>
    <t>Data Cable</t>
  </si>
  <si>
    <t>Shrivastava</t>
  </si>
  <si>
    <t>Registration (part-paid)</t>
  </si>
  <si>
    <t>Registration</t>
  </si>
  <si>
    <t>Zakir</t>
  </si>
  <si>
    <t>Pranali</t>
  </si>
  <si>
    <t>Total Collected</t>
  </si>
  <si>
    <t>2. Bill Summary</t>
  </si>
  <si>
    <t>Total Bill of Components</t>
  </si>
  <si>
    <t>Registration (full fee)</t>
  </si>
  <si>
    <t>Grand Total</t>
  </si>
  <si>
    <t>Number of People</t>
  </si>
  <si>
    <t>Per Head Share</t>
  </si>
  <si>
    <t>3. Settlement by Person</t>
  </si>
  <si>
    <t>Person</t>
  </si>
  <si>
    <t>Share (₹)</t>
  </si>
  <si>
    <t>Contributed (₹)</t>
  </si>
  <si>
    <t>Balance (₹)</t>
  </si>
  <si>
    <t>Status</t>
  </si>
  <si>
    <t>Total</t>
  </si>
  <si>
    <t>Components Batch 1 (paid in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</si>
</sst>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\(\₹#,##0\);\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auto="1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 style="thin">
        <color auto="1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1" fillId="2" borderId="1" xfId="0" applyFont="1" applyFill="1" applyBorder="1"/>
    <xf numFmtId="0" fontId="0" fillId="0" borderId="2" xfId="0" applyBorder="1"/>
    <xf numFmtId="0" fontId="5" fillId="0" borderId="2" xfId="0" applyFont="1" applyBorder="1"/>
    <xf numFmtId="0" fontId="1" fillId="2" borderId="4" xfId="0" applyFont="1" applyFill="1" applyBorder="1"/>
    <xf numFmtId="0" fontId="4" fillId="0" borderId="5" xfId="0" applyFont="1" applyBorder="1"/>
    <xf numFmtId="0" fontId="0" fillId="0" borderId="6" xfId="0" applyBorder="1"/>
    <xf numFmtId="0" fontId="1" fillId="2" borderId="7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8" xfId="0" applyNumberForma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Settlement Balance by Person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Balance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Sheet1!$A$25:$A$29</c:f>
              <c:strCache>
                <c:ptCount val="5"/>
                <c:pt idx="0">
                  <c:v>Amogh</c:v>
                </c:pt>
                <c:pt idx="1">
                  <c:v>Zakir</c:v>
                </c:pt>
                <c:pt idx="2">
                  <c:v>Pranali</c:v>
                </c:pt>
                <c:pt idx="3">
                  <c:v>Shrivastava</c:v>
                </c:pt>
                <c:pt idx="4">
                  <c:v>Ganesh</c:v>
                </c:pt>
              </c:strCache>
            </c:strRef>
          </c:cat>
          <c:val>
            <c:numRef>
              <c:f>Sheet1!$D$25:$D$29</c:f>
              <c:numCache>
                <c:formatCode>\₹#,##0;\(\₹#,##0\);\-</c:formatCode>
                <c:ptCount val="5"/>
                <c:pt idx="0">
                  <c:v>40</c:v>
                </c:pt>
                <c:pt idx="1">
                  <c:v>240</c:v>
                </c:pt>
                <c:pt idx="2">
                  <c:v>240</c:v>
                </c:pt>
                <c:pt idx="3">
                  <c:v>160</c:v>
                </c:pt>
                <c:pt idx="4">
                  <c:v>-540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0-4E79-93B7-A2DD1EFFE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032543"/>
        <c:axId val="1404952159"/>
      </c:barChart>
      <c:catAx>
        <c:axId val="124203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52159"/>
        <c:crosses val="autoZero"/>
        <c:auto val="1"/>
        <c:lblAlgn val="ctr"/>
        <c:lblOffset val="100"/>
        <c:noMultiLvlLbl val="0"/>
      </c:catAx>
      <c:valAx>
        <c:axId val="140495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3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AE7A8-3B38-0F3A-CB14-B429F3A69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82CE2B-C86B-4545-995D-09431FF9A3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e37ab47-8e1b-46f3-a948-54d28fee6a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B97D-8C39-40B7-AA07-1D92745ACD00}">
  <dimension ref="A1:F30"/>
  <sheetViews>
    <sheetView tabSelected="1" topLeftCell="A3" zoomScale="68" workbookViewId="0">
      <selection activeCell="C33" sqref="C33"/>
    </sheetView>
  </sheetViews>
  <sheetFormatPr defaultRowHeight="14.5" x14ac:dyDescent="0.35"/>
  <cols>
    <col min="1" max="1" width="34.54296875" customWidth="1"/>
    <col min="2" max="3" width="20" customWidth="1"/>
    <col min="4" max="4" width="18.1796875" customWidth="1"/>
    <col min="5" max="6" width="16.36328125" customWidth="1"/>
  </cols>
  <sheetData>
    <row r="1" spans="1:4" ht="21" x14ac:dyDescent="0.5">
      <c r="A1" s="1" t="s">
        <v>0</v>
      </c>
    </row>
    <row r="3" spans="1:4" ht="16" x14ac:dyDescent="0.4">
      <c r="A3" s="2" t="s">
        <v>1</v>
      </c>
    </row>
    <row r="4" spans="1:4" x14ac:dyDescent="0.35">
      <c r="A4" s="8" t="s">
        <v>2</v>
      </c>
      <c r="B4" s="5" t="s">
        <v>3</v>
      </c>
      <c r="C4" s="5" t="s">
        <v>4</v>
      </c>
      <c r="D4" s="11" t="s">
        <v>5</v>
      </c>
    </row>
    <row r="5" spans="1:4" x14ac:dyDescent="0.35">
      <c r="A5" s="9" t="s">
        <v>6</v>
      </c>
      <c r="B5" s="4" t="s">
        <v>7</v>
      </c>
      <c r="C5" s="4" t="s">
        <v>8</v>
      </c>
      <c r="D5" s="23">
        <v>200</v>
      </c>
    </row>
    <row r="6" spans="1:4" x14ac:dyDescent="0.35">
      <c r="A6" s="9" t="s">
        <v>32</v>
      </c>
      <c r="B6" s="4" t="s">
        <v>7</v>
      </c>
      <c r="C6" s="4" t="s">
        <v>10</v>
      </c>
      <c r="D6" s="23">
        <v>400</v>
      </c>
    </row>
    <row r="7" spans="1:4" x14ac:dyDescent="0.35">
      <c r="A7" s="9" t="s">
        <v>9</v>
      </c>
      <c r="B7" s="4" t="s">
        <v>7</v>
      </c>
      <c r="C7" s="4" t="s">
        <v>10</v>
      </c>
      <c r="D7" s="23">
        <v>450</v>
      </c>
    </row>
    <row r="8" spans="1:4" x14ac:dyDescent="0.35">
      <c r="A8" s="9" t="s">
        <v>11</v>
      </c>
      <c r="B8" s="4" t="s">
        <v>12</v>
      </c>
      <c r="C8" s="4" t="s">
        <v>13</v>
      </c>
      <c r="D8" s="23">
        <v>150</v>
      </c>
    </row>
    <row r="9" spans="1:4" x14ac:dyDescent="0.35">
      <c r="A9" s="9" t="s">
        <v>14</v>
      </c>
      <c r="B9" s="4" t="s">
        <v>15</v>
      </c>
      <c r="C9" s="4" t="s">
        <v>8</v>
      </c>
      <c r="D9" s="23">
        <v>70</v>
      </c>
    </row>
    <row r="10" spans="1:4" x14ac:dyDescent="0.35">
      <c r="A10" s="9" t="s">
        <v>14</v>
      </c>
      <c r="B10" s="4" t="s">
        <v>15</v>
      </c>
      <c r="C10" s="4" t="s">
        <v>16</v>
      </c>
      <c r="D10" s="23">
        <v>70</v>
      </c>
    </row>
    <row r="11" spans="1:4" x14ac:dyDescent="0.35">
      <c r="A11" s="9" t="s">
        <v>14</v>
      </c>
      <c r="B11" s="4" t="s">
        <v>15</v>
      </c>
      <c r="C11" s="4" t="s">
        <v>17</v>
      </c>
      <c r="D11" s="23">
        <v>70</v>
      </c>
    </row>
    <row r="12" spans="1:4" x14ac:dyDescent="0.35">
      <c r="A12" s="10"/>
      <c r="B12" s="6"/>
      <c r="C12" s="7" t="s">
        <v>18</v>
      </c>
      <c r="D12" s="24">
        <f>SUM(D5:D11)</f>
        <v>1410</v>
      </c>
    </row>
    <row r="14" spans="1:4" ht="16" x14ac:dyDescent="0.4">
      <c r="A14" s="3" t="s">
        <v>19</v>
      </c>
    </row>
    <row r="16" spans="1:4" x14ac:dyDescent="0.35">
      <c r="A16" s="12" t="s">
        <v>20</v>
      </c>
      <c r="B16" s="25">
        <f>SUMIF($B$5:$B$11,"Components",$D$5:$D$11)</f>
        <v>1050</v>
      </c>
    </row>
    <row r="17" spans="1:6" x14ac:dyDescent="0.35">
      <c r="A17" s="13" t="s">
        <v>12</v>
      </c>
      <c r="B17" s="19">
        <f>SUMIF($B$5:$B$11,"Data Cable",$D$5:$D$11)</f>
        <v>150</v>
      </c>
    </row>
    <row r="18" spans="1:6" x14ac:dyDescent="0.35">
      <c r="A18" s="9" t="s">
        <v>21</v>
      </c>
      <c r="B18" s="26">
        <v>350</v>
      </c>
    </row>
    <row r="19" spans="1:6" x14ac:dyDescent="0.35">
      <c r="A19" s="14" t="s">
        <v>22</v>
      </c>
      <c r="B19" s="27">
        <f>B16+B17+B18</f>
        <v>1550</v>
      </c>
    </row>
    <row r="20" spans="1:6" x14ac:dyDescent="0.35">
      <c r="A20" s="9" t="s">
        <v>23</v>
      </c>
      <c r="B20" s="28">
        <v>5</v>
      </c>
    </row>
    <row r="21" spans="1:6" x14ac:dyDescent="0.35">
      <c r="A21" s="15" t="s">
        <v>24</v>
      </c>
      <c r="B21" s="29">
        <f>B19/B20</f>
        <v>310</v>
      </c>
    </row>
    <row r="23" spans="1:6" ht="16" x14ac:dyDescent="0.4">
      <c r="A23" s="2" t="s">
        <v>25</v>
      </c>
    </row>
    <row r="24" spans="1:6" x14ac:dyDescent="0.35">
      <c r="A24" s="8" t="s">
        <v>26</v>
      </c>
      <c r="B24" s="5" t="s">
        <v>27</v>
      </c>
      <c r="C24" s="5" t="s">
        <v>28</v>
      </c>
      <c r="D24" s="5" t="s">
        <v>29</v>
      </c>
      <c r="E24" s="5" t="s">
        <v>30</v>
      </c>
      <c r="F24" s="11" t="s">
        <v>5</v>
      </c>
    </row>
    <row r="25" spans="1:6" x14ac:dyDescent="0.35">
      <c r="A25" s="16" t="s">
        <v>8</v>
      </c>
      <c r="B25" s="17">
        <f>$B$21</f>
        <v>310</v>
      </c>
      <c r="C25" s="17">
        <f>SUMIF($C$5:$C$11,A25,$D$5:$D$11)</f>
        <v>270</v>
      </c>
      <c r="D25" s="17">
        <f>B25-C25</f>
        <v>40</v>
      </c>
      <c r="E25" s="18" t="str">
        <f t="shared" ref="E25:E30" si="0">IF(D25&gt;0,"To Pay",IF(D25&lt;0,"To Receive","Settled"))</f>
        <v>To Pay</v>
      </c>
      <c r="F25" s="19">
        <f t="shared" ref="F25:F30" si="1">ABS(D25)</f>
        <v>40</v>
      </c>
    </row>
    <row r="26" spans="1:6" x14ac:dyDescent="0.35">
      <c r="A26" s="16" t="s">
        <v>16</v>
      </c>
      <c r="B26" s="17">
        <f>$B$21</f>
        <v>310</v>
      </c>
      <c r="C26" s="17">
        <f>SUMIF($C$5:$C$11,A26,$D$5:$D$11)</f>
        <v>70</v>
      </c>
      <c r="D26" s="17">
        <f>B26-C26</f>
        <v>240</v>
      </c>
      <c r="E26" s="18" t="str">
        <f t="shared" si="0"/>
        <v>To Pay</v>
      </c>
      <c r="F26" s="19">
        <f t="shared" si="1"/>
        <v>240</v>
      </c>
    </row>
    <row r="27" spans="1:6" x14ac:dyDescent="0.35">
      <c r="A27" s="16" t="s">
        <v>17</v>
      </c>
      <c r="B27" s="17">
        <f>$B$21</f>
        <v>310</v>
      </c>
      <c r="C27" s="17">
        <f>SUMIF($C$5:$C$11,A27,$D$5:$D$11)</f>
        <v>70</v>
      </c>
      <c r="D27" s="17">
        <f>B27-C27</f>
        <v>240</v>
      </c>
      <c r="E27" s="18" t="str">
        <f t="shared" si="0"/>
        <v>To Pay</v>
      </c>
      <c r="F27" s="19">
        <f t="shared" si="1"/>
        <v>240</v>
      </c>
    </row>
    <row r="28" spans="1:6" x14ac:dyDescent="0.35">
      <c r="A28" s="16" t="s">
        <v>13</v>
      </c>
      <c r="B28" s="17">
        <f>$B$21</f>
        <v>310</v>
      </c>
      <c r="C28" s="17">
        <f>SUMIF($C$5:$C$11,A28,$D$5:$D$11)</f>
        <v>150</v>
      </c>
      <c r="D28" s="17">
        <f>B28-C28</f>
        <v>160</v>
      </c>
      <c r="E28" s="18" t="str">
        <f t="shared" si="0"/>
        <v>To Pay</v>
      </c>
      <c r="F28" s="19">
        <f t="shared" si="1"/>
        <v>160</v>
      </c>
    </row>
    <row r="29" spans="1:6" x14ac:dyDescent="0.35">
      <c r="A29" s="16" t="s">
        <v>10</v>
      </c>
      <c r="B29" s="17">
        <f>$B$21</f>
        <v>310</v>
      </c>
      <c r="C29" s="17">
        <f>SUMIF($C$5:$C$11,A29,$D$5:$D$11)</f>
        <v>850</v>
      </c>
      <c r="D29" s="17">
        <f>B29-C29</f>
        <v>-540</v>
      </c>
      <c r="E29" s="18" t="str">
        <f t="shared" si="0"/>
        <v>To Receive</v>
      </c>
      <c r="F29" s="19">
        <f t="shared" si="1"/>
        <v>540</v>
      </c>
    </row>
    <row r="30" spans="1:6" x14ac:dyDescent="0.35">
      <c r="A30" s="15" t="s">
        <v>31</v>
      </c>
      <c r="B30" s="20">
        <f>SUM(B25:B29)</f>
        <v>1550</v>
      </c>
      <c r="C30" s="20">
        <f>SUM(C25:C29)</f>
        <v>1410</v>
      </c>
      <c r="D30" s="20">
        <f>SUM(D25:D29)</f>
        <v>140</v>
      </c>
      <c r="E30" s="21" t="str">
        <f t="shared" si="0"/>
        <v>To Pay</v>
      </c>
      <c r="F30" s="22">
        <f t="shared" si="1"/>
        <v>140</v>
      </c>
    </row>
  </sheetData>
  <conditionalFormatting sqref="E25:E29">
    <cfRule type="expression" dxfId="1" priority="1">
      <formula>$E25="To Pay"</formula>
    </cfRule>
    <cfRule type="expression" dxfId="0" priority="2">
      <formula>$E25="To Receive"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Aralkar</dc:creator>
  <cp:lastModifiedBy>Amogh Aralkar</cp:lastModifiedBy>
  <dcterms:created xsi:type="dcterms:W3CDTF">2026-10-11T04:43:04Z</dcterms:created>
  <dcterms:modified xsi:type="dcterms:W3CDTF">2026-10-11T05:54:53Z</dcterms:modified>
</cp:coreProperties>
</file>